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rant\Downloads\"/>
    </mc:Choice>
  </mc:AlternateContent>
  <xr:revisionPtr revIDLastSave="0" documentId="13_ncr:1_{09692CB4-CFEC-4FD5-8EB1-0ECE806F8431}" xr6:coauthVersionLast="47" xr6:coauthVersionMax="47" xr10:uidLastSave="{00000000-0000-0000-0000-000000000000}"/>
  <bookViews>
    <workbookView xWindow="-98" yWindow="-98" windowWidth="24496" windowHeight="15675" activeTab="1" xr2:uid="{00000000-000D-0000-FFFF-FFFF00000000}"/>
  </bookViews>
  <sheets>
    <sheet name="Employees" sheetId="1" r:id="rId1"/>
    <sheet name="Projects" sheetId="2" r:id="rId2"/>
    <sheet name="Tasks" sheetId="3" r:id="rId3"/>
    <sheet name="Data Dictionary" sheetId="4" r:id="rId4"/>
  </sheets>
  <calcPr calcId="191029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2" i="2"/>
</calcChain>
</file>

<file path=xl/sharedStrings.xml><?xml version="1.0" encoding="utf-8"?>
<sst xmlns="http://schemas.openxmlformats.org/spreadsheetml/2006/main" count="275" uniqueCount="139">
  <si>
    <t>employee</t>
  </si>
  <si>
    <t>capacity</t>
  </si>
  <si>
    <t>skills</t>
  </si>
  <si>
    <t>hourly_rate ($)</t>
  </si>
  <si>
    <t>employee_type</t>
  </si>
  <si>
    <t>E001</t>
  </si>
  <si>
    <t>A,B</t>
  </si>
  <si>
    <t>Senior</t>
  </si>
  <si>
    <t>E002</t>
  </si>
  <si>
    <t>B,C</t>
  </si>
  <si>
    <t>Mid-Level</t>
  </si>
  <si>
    <t>E003</t>
  </si>
  <si>
    <t>C,E</t>
  </si>
  <si>
    <t>E004</t>
  </si>
  <si>
    <t>A,D</t>
  </si>
  <si>
    <t>E005</t>
  </si>
  <si>
    <t>A,B,D</t>
  </si>
  <si>
    <t>E006</t>
  </si>
  <si>
    <t>C</t>
  </si>
  <si>
    <t>Junior</t>
  </si>
  <si>
    <t>E007</t>
  </si>
  <si>
    <t>B,D</t>
  </si>
  <si>
    <t>E008</t>
  </si>
  <si>
    <t>E</t>
  </si>
  <si>
    <t>E009</t>
  </si>
  <si>
    <t>A,C</t>
  </si>
  <si>
    <t>E010</t>
  </si>
  <si>
    <t>B,E</t>
  </si>
  <si>
    <t>E011</t>
  </si>
  <si>
    <t>A,B,C</t>
  </si>
  <si>
    <t>E012</t>
  </si>
  <si>
    <t>D</t>
  </si>
  <si>
    <t>E013</t>
  </si>
  <si>
    <t>A,E</t>
  </si>
  <si>
    <t>E014</t>
  </si>
  <si>
    <t>B,C,D</t>
  </si>
  <si>
    <t>E015</t>
  </si>
  <si>
    <t>E016</t>
  </si>
  <si>
    <t>A,D,E</t>
  </si>
  <si>
    <t>E017</t>
  </si>
  <si>
    <t>B</t>
  </si>
  <si>
    <t>E018</t>
  </si>
  <si>
    <t>C,D,E</t>
  </si>
  <si>
    <t>project</t>
  </si>
  <si>
    <t>reimbursable</t>
  </si>
  <si>
    <t>max_total</t>
  </si>
  <si>
    <t>budget ($)</t>
  </si>
  <si>
    <t>cost_priority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</si>
  <si>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</si>
  <si>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</si>
  <si>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</si>
  <si>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</si>
  <si>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</si>
  <si>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</si>
  <si>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</si>
  <si>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</si>
  <si>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</si>
  <si>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</si>
  <si>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</si>
  <si>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</si>
  <si>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task_id</t>
  </si>
  <si>
    <t>task_type</t>
  </si>
  <si>
    <t>min_hours</t>
  </si>
  <si>
    <t>T001</t>
  </si>
  <si>
    <t>A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</si>
  <si>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</si>
  <si>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</si>
  <si>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</si>
  <si>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</si>
  <si>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</si>
  <si>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</si>
  <si>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</si>
  <si>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</si>
  <si>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</si>
  <si>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</si>
  <si>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</si>
  <si>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</si>
  <si>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</si>
  <si>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</si>
  <si>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</si>
  <si>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</si>
  <si>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</si>
  <si>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</si>
  <si>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</si>
  <si>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</si>
  <si>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</si>
  <si>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</si>
  <si>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</si>
  <si>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</si>
  <si>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</si>
  <si>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</si>
  <si>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</si>
  <si>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</si>
  <si>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</si>
  <si>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</si>
  <si>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</si>
  <si>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</si>
  <si>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</si>
  <si>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</si>
  <si>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</si>
  <si>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</si>
  <si>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</si>
  <si>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</si>
  <si>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</si>
  <si>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</si>
  <si>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</si>
  <si>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</si>
  <si>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</si>
  <si>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</si>
  <si>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Sheet</t>
  </si>
  <si>
    <t>Column</t>
  </si>
  <si>
    <t>Type</t>
  </si>
  <si>
    <t>Description</t>
  </si>
  <si>
    <t>Employees</t>
  </si>
  <si>
    <t>ID</t>
  </si>
  <si>
    <t>Unique employee identifier</t>
  </si>
  <si>
    <t>Integer</t>
  </si>
  <si>
    <t>Max weekly hours available</t>
  </si>
  <si>
    <t>String</t>
  </si>
  <si>
    <t>Comma-separated skill types (A-E)</t>
  </si>
  <si>
    <t>hourly_rate</t>
  </si>
  <si>
    <t>Float ($)</t>
  </si>
  <si>
    <t>Synthetic hourly billing rate. Derived from skill breadth + random variance. Junior ~$50, Mid ~$65, Senior ~$80</t>
  </si>
  <si>
    <t>Category</t>
  </si>
  <si>
    <t>Derived from capacity: Junior (&lt;25hr), Mid-Level (25-39hr), Senior (40+hr)</t>
  </si>
  <si>
    <t>Projects</t>
  </si>
  <si>
    <t>Unique project identifier</t>
  </si>
  <si>
    <t>Boolean</t>
  </si>
  <si>
    <t>True = client-billable; False = internal/overhead</t>
  </si>
  <si>
    <t>Max hours budget for reimbursable projects (NaN for internal)</t>
  </si>
  <si>
    <t>budget</t>
  </si>
  <si>
    <t>Synthetic dollar budget. Reimbursable = max_total * ~$65/hr * 1.05-1.20 buffer. Non-reimbursable = synthetic fixed budget.</t>
  </si>
  <si>
    <t>maximize_skill = prefer higher-skilled (costlier) employees. minimize_cost = prefer lower-cost employees.</t>
  </si>
  <si>
    <t>Tasks</t>
  </si>
  <si>
    <t>Project this task belongs to</t>
  </si>
  <si>
    <t>Unique task identifier</t>
  </si>
  <si>
    <t>Required skill type (A-E) to complete task</t>
  </si>
  <si>
    <t>Minimum hours required to complete task</t>
  </si>
  <si>
    <t>Urgency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</si>
</sst>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0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D6E4F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Table" displayName="EmployeesTable" ref="A1:E19" headerRowDxfId="25" dataDxfId="24" totalsRowDxfId="23">
  <autoFilter ref="A1:E19" xr:uid="{00000000-0009-0000-0100-000001000000}"/>
  <tableColumns count="5">
    <tableColumn id="1" xr3:uid="{00000000-0010-0000-0000-000001000000}" name="employee" dataDxfId="22"/>
    <tableColumn id="2" xr3:uid="{00000000-0010-0000-0000-000002000000}" name="capacity" dataDxfId="21"/>
    <tableColumn id="3" xr3:uid="{00000000-0010-0000-0000-000003000000}" name="skills" dataDxfId="20"/>
    <tableColumn id="4" xr3:uid="{7FD48FCE-6643-4C23-8706-F0AF8012581E}" name="hourly_rate ($)" dataDxfId="19" totalsRowDxfId="18"/>
    <tableColumn id="5" xr3:uid="{A5069FC6-DD37-4A07-89E4-2CFE8F9B6F8A}" name="employee_type" dataDxfId="17" totalsRowDxfId="16"/>
  </tableColumns>
  <tableStyleInfo name="TableStyleMedium2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jectsTable" displayName="ProjectsTable" ref="A1:D13" headerRowDxfId="15" dataDxfId="14" totalsRowDxfId="13">
  <autoFilter ref="A1:D13" xr:uid="{00000000-0009-0000-0100-000002000000}"/>
  <tableColumns count="4">
    <tableColumn id="1" xr3:uid="{00000000-0010-0000-0100-000001000000}" name="project" dataDxfId="12"/>
    <tableColumn id="2" xr3:uid="{00000000-0010-0000-0100-000002000000}" name="reimbursable" dataDxfId="11"/>
    <tableColumn id="3" xr3:uid="{00000000-0010-0000-0100-000003000000}" name="max_total" dataDxfId="10"/>
    <tableColumn id="4" xr3:uid="{EBFD75C9-787B-4520-89F3-C5895DE54C8E}" name="budget ($)" dataDxfId="9" totalsRowDxfId="8">
      <calculatedColumnFormula>RANDBETWEEN(10000, 30000)</calculatedColumnFormula>
    </tableColumn>
  </tableColumns>
  <tableStyleInfo name="TableStyleMedium2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quirementsTable" displayName="RequirementsTable" ref="A1:E46" headerRowDxfId="7" dataDxfId="6" totalsRowDxfId="5">
  <autoFilter ref="A1:E46" xr:uid="{00000000-0009-0000-0100-000003000000}"/>
  <tableColumns count="5">
    <tableColumn id="1" xr3:uid="{00000000-0010-0000-0200-000001000000}" name="project" dataDxfId="4"/>
    <tableColumn id="2" xr3:uid="{00000000-0010-0000-0200-000002000000}" name="task_id" dataDxfId="3"/>
    <tableColumn id="3" xr3:uid="{00000000-0010-0000-0200-000003000000}" name="task_type" dataDxfId="2"/>
    <tableColumn id="4" xr3:uid="{00000000-0010-0000-0200-000004000000}" name="min_hours" dataDxfId="1"/>
    <tableColumn id="7" xr3:uid="{41C39BDC-6725-4DC4-B1D7-CFB4A4F227E4}" name="Urgency" dataDxfId="0"/>
  </tableColumns>
  <tableStyleInfo name="TableStyleMedium2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E15" sqref="E15"/>
    </sheetView>
  </sheetViews>
  <sheetFormatPr defaultRowHeight="14.25" x14ac:dyDescent="0.45"/>
  <cols>
    <col min="1" max="3" width="12" style="6" customWidth="1"/>
    <col min="4" max="4" width="17.9296875" style="6" bestFit="1" customWidth="1"/>
    <col min="5" max="5" width="16" style="6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9" t="s">
        <v>3</v>
      </c>
      <c r="E1" s="9" t="s">
        <v>4</v>
      </c>
    </row>
    <row r="2" spans="1:5" x14ac:dyDescent="0.45">
      <c r="A2" s="5" t="s">
        <v>5</v>
      </c>
      <c r="B2" s="5">
        <v>40</v>
      </c>
      <c r="C2" s="5" t="s">
        <v>6</v>
      </c>
      <c r="D2" s="7">
        <v>67.23</v>
      </c>
      <c r="E2" s="8" t="s">
        <v>7</v>
      </c>
    </row>
    <row r="3" spans="1:5" x14ac:dyDescent="0.45">
      <c r="A3" s="5" t="s">
        <v>8</v>
      </c>
      <c r="B3" s="5">
        <v>35</v>
      </c>
      <c r="C3" s="5" t="s">
        <v>9</v>
      </c>
      <c r="D3" s="7">
        <v>57.4</v>
      </c>
      <c r="E3" s="8" t="s">
        <v>10</v>
      </c>
    </row>
    <row r="4" spans="1:5" x14ac:dyDescent="0.45">
      <c r="A4" s="5" t="s">
        <v>11</v>
      </c>
      <c r="B4" s="5">
        <v>30</v>
      </c>
      <c r="C4" s="5" t="s">
        <v>12</v>
      </c>
      <c r="D4" s="7">
        <v>61.4</v>
      </c>
      <c r="E4" s="8" t="s">
        <v>10</v>
      </c>
    </row>
    <row r="5" spans="1:5" x14ac:dyDescent="0.45">
      <c r="A5" s="5" t="s">
        <v>13</v>
      </c>
      <c r="B5" s="5">
        <v>25</v>
      </c>
      <c r="C5" s="5" t="s">
        <v>14</v>
      </c>
      <c r="D5" s="7">
        <v>60.57</v>
      </c>
      <c r="E5" s="8" t="s">
        <v>10</v>
      </c>
    </row>
    <row r="6" spans="1:5" x14ac:dyDescent="0.45">
      <c r="A6" s="5" t="s">
        <v>15</v>
      </c>
      <c r="B6" s="5">
        <v>45</v>
      </c>
      <c r="C6" s="5" t="s">
        <v>16</v>
      </c>
      <c r="D6" s="7">
        <v>83.78</v>
      </c>
      <c r="E6" s="8" t="s">
        <v>7</v>
      </c>
    </row>
    <row r="7" spans="1:5" x14ac:dyDescent="0.45">
      <c r="A7" s="5" t="s">
        <v>17</v>
      </c>
      <c r="B7" s="5">
        <v>20</v>
      </c>
      <c r="C7" s="5" t="s">
        <v>18</v>
      </c>
      <c r="D7" s="7">
        <v>52.83</v>
      </c>
      <c r="E7" s="8" t="s">
        <v>19</v>
      </c>
    </row>
    <row r="8" spans="1:5" x14ac:dyDescent="0.45">
      <c r="A8" s="5" t="s">
        <v>20</v>
      </c>
      <c r="B8" s="5">
        <v>30</v>
      </c>
      <c r="C8" s="5" t="s">
        <v>21</v>
      </c>
      <c r="D8" s="7">
        <v>71.27</v>
      </c>
      <c r="E8" s="8" t="s">
        <v>10</v>
      </c>
    </row>
    <row r="9" spans="1:5" x14ac:dyDescent="0.45">
      <c r="A9" s="5" t="s">
        <v>22</v>
      </c>
      <c r="B9" s="5">
        <v>15</v>
      </c>
      <c r="C9" s="5" t="s">
        <v>23</v>
      </c>
      <c r="D9" s="7">
        <v>43.39</v>
      </c>
      <c r="E9" s="8" t="s">
        <v>19</v>
      </c>
    </row>
    <row r="10" spans="1:5" x14ac:dyDescent="0.45">
      <c r="A10" s="5" t="s">
        <v>24</v>
      </c>
      <c r="B10" s="5">
        <v>40</v>
      </c>
      <c r="C10" s="5" t="s">
        <v>25</v>
      </c>
      <c r="D10" s="7">
        <v>63.75</v>
      </c>
      <c r="E10" s="8" t="s">
        <v>7</v>
      </c>
    </row>
    <row r="11" spans="1:5" x14ac:dyDescent="0.45">
      <c r="A11" s="5" t="s">
        <v>26</v>
      </c>
      <c r="B11" s="5">
        <v>35</v>
      </c>
      <c r="C11" s="5" t="s">
        <v>27</v>
      </c>
      <c r="D11" s="7">
        <v>57.48</v>
      </c>
      <c r="E11" s="8" t="s">
        <v>10</v>
      </c>
    </row>
    <row r="12" spans="1:5" x14ac:dyDescent="0.45">
      <c r="A12" s="5" t="s">
        <v>28</v>
      </c>
      <c r="B12" s="5">
        <v>25</v>
      </c>
      <c r="C12" s="5" t="s">
        <v>29</v>
      </c>
      <c r="D12" s="7">
        <v>75.5</v>
      </c>
      <c r="E12" s="8" t="s">
        <v>10</v>
      </c>
    </row>
    <row r="13" spans="1:5" x14ac:dyDescent="0.45">
      <c r="A13" s="5" t="s">
        <v>30</v>
      </c>
      <c r="B13" s="5">
        <v>30</v>
      </c>
      <c r="C13" s="5" t="s">
        <v>31</v>
      </c>
      <c r="D13" s="7">
        <v>50.09</v>
      </c>
      <c r="E13" s="8" t="s">
        <v>10</v>
      </c>
    </row>
    <row r="14" spans="1:5" x14ac:dyDescent="0.45">
      <c r="A14" s="5" t="s">
        <v>32</v>
      </c>
      <c r="B14" s="5">
        <v>20</v>
      </c>
      <c r="C14" s="5" t="s">
        <v>33</v>
      </c>
      <c r="D14" s="7">
        <v>57.42</v>
      </c>
      <c r="E14" s="8" t="s">
        <v>19</v>
      </c>
    </row>
    <row r="15" spans="1:5" x14ac:dyDescent="0.45">
      <c r="A15" s="5" t="s">
        <v>34</v>
      </c>
      <c r="B15" s="5">
        <v>45</v>
      </c>
      <c r="C15" s="5" t="s">
        <v>35</v>
      </c>
      <c r="D15" s="7">
        <v>75.180000000000007</v>
      </c>
      <c r="E15" s="8" t="s">
        <v>7</v>
      </c>
    </row>
    <row r="16" spans="1:5" x14ac:dyDescent="0.45">
      <c r="A16" s="5" t="s">
        <v>36</v>
      </c>
      <c r="B16" s="5">
        <v>10</v>
      </c>
      <c r="C16" s="5" t="s">
        <v>12</v>
      </c>
      <c r="D16" s="7">
        <v>67.400000000000006</v>
      </c>
      <c r="E16" s="8" t="s">
        <v>19</v>
      </c>
    </row>
    <row r="17" spans="1:5" x14ac:dyDescent="0.45">
      <c r="A17" s="5" t="s">
        <v>37</v>
      </c>
      <c r="B17" s="5">
        <v>30</v>
      </c>
      <c r="C17" s="5" t="s">
        <v>38</v>
      </c>
      <c r="D17" s="7">
        <v>80.72</v>
      </c>
      <c r="E17" s="8" t="s">
        <v>10</v>
      </c>
    </row>
    <row r="18" spans="1:5" x14ac:dyDescent="0.45">
      <c r="A18" s="5" t="s">
        <v>39</v>
      </c>
      <c r="B18" s="5">
        <v>40</v>
      </c>
      <c r="C18" s="5" t="s">
        <v>40</v>
      </c>
      <c r="D18" s="7">
        <v>45.53</v>
      </c>
      <c r="E18" s="8" t="s">
        <v>7</v>
      </c>
    </row>
    <row r="19" spans="1:5" x14ac:dyDescent="0.45">
      <c r="A19" s="5" t="s">
        <v>41</v>
      </c>
      <c r="B19" s="5">
        <v>25</v>
      </c>
      <c r="C19" s="5" t="s">
        <v>42</v>
      </c>
      <c r="D19" s="7">
        <v>81.430000000000007</v>
      </c>
      <c r="E19" s="8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C2" sqref="C2:C7"/>
    </sheetView>
  </sheetViews>
  <sheetFormatPr defaultRowHeight="14.25" x14ac:dyDescent="0.45"/>
  <cols>
    <col min="1" max="4" width="16" style="6" customWidth="1"/>
  </cols>
  <sheetData>
    <row r="1" spans="1:4" x14ac:dyDescent="0.45">
      <c r="A1" s="12" t="s">
        <v>43</v>
      </c>
      <c r="B1" s="12" t="s">
        <v>44</v>
      </c>
      <c r="C1" s="12" t="s">
        <v>45</v>
      </c>
      <c r="D1" s="14" t="s">
        <v>46</v>
      </c>
    </row>
    <row r="2" spans="1:4" x14ac:dyDescent="0.45">
      <c r="A2" s="10" t="s">
        <v>48</v>
      </c>
      <c r="B2" s="10" t="b">
        <v>1</v>
      </c>
      <c r="C2" s="10">
        <v>90</v>
      </c>
      <c r="D2" s="13">
        <f ca="1">RANDBETWEEN(10000, 30000)</f>
        <v>12248</v>
      </c>
    </row>
    <row r="3" spans="1:4" x14ac:dyDescent="0.45">
      <c r="A3" s="11" t="s">
        <v>49</v>
      </c>
      <c r="B3" s="11" t="b">
        <v>1</v>
      </c>
      <c r="C3" s="11">
        <v>85</v>
      </c>
      <c r="D3" s="13">
        <f t="shared" ref="D3:D13" ca="1" si="0">RANDBETWEEN(10000, 30000)</f>
        <v>29039</v>
      </c>
    </row>
    <row r="4" spans="1:4" x14ac:dyDescent="0.45">
      <c r="A4" s="10" t="s">
        <v>50</v>
      </c>
      <c r="B4" s="10" t="b">
        <v>1</v>
      </c>
      <c r="C4" s="10">
        <v>95</v>
      </c>
      <c r="D4" s="13">
        <f t="shared" ca="1" si="0"/>
        <v>14746</v>
      </c>
    </row>
    <row r="5" spans="1:4" x14ac:dyDescent="0.45">
      <c r="A5" s="11" t="s">
        <v>51</v>
      </c>
      <c r="B5" s="11" t="b">
        <v>1</v>
      </c>
      <c r="C5" s="11">
        <v>100</v>
      </c>
      <c r="D5" s="13">
        <f t="shared" ca="1" si="0"/>
        <v>29881</v>
      </c>
    </row>
    <row r="6" spans="1:4" x14ac:dyDescent="0.45">
      <c r="A6" s="10" t="s">
        <v>52</v>
      </c>
      <c r="B6" s="10" t="b">
        <v>1</v>
      </c>
      <c r="C6" s="10">
        <v>85</v>
      </c>
      <c r="D6" s="13">
        <f t="shared" ca="1" si="0"/>
        <v>14707</v>
      </c>
    </row>
    <row r="7" spans="1:4" x14ac:dyDescent="0.45">
      <c r="A7" s="11" t="s">
        <v>53</v>
      </c>
      <c r="B7" s="11" t="b">
        <v>1</v>
      </c>
      <c r="C7" s="11">
        <v>80</v>
      </c>
      <c r="D7" s="13">
        <f t="shared" ca="1" si="0"/>
        <v>23149</v>
      </c>
    </row>
    <row r="8" spans="1:4" x14ac:dyDescent="0.45">
      <c r="A8" s="10" t="s">
        <v>54</v>
      </c>
      <c r="B8" s="10" t="b">
        <v>0</v>
      </c>
      <c r="C8" s="10"/>
      <c r="D8" s="13">
        <f t="shared" ca="1" si="0"/>
        <v>14554</v>
      </c>
    </row>
    <row r="9" spans="1:4" x14ac:dyDescent="0.45">
      <c r="A9" s="11" t="s">
        <v>55</v>
      </c>
      <c r="B9" s="11" t="b">
        <v>0</v>
      </c>
      <c r="C9" s="11"/>
      <c r="D9" s="13">
        <f t="shared" ca="1" si="0"/>
        <v>12705</v>
      </c>
    </row>
    <row r="10" spans="1:4" x14ac:dyDescent="0.45">
      <c r="A10" s="10" t="s">
        <v>56</v>
      </c>
      <c r="B10" s="10" t="b">
        <v>0</v>
      </c>
      <c r="C10" s="10"/>
      <c r="D10" s="13">
        <f t="shared" ca="1" si="0"/>
        <v>28812</v>
      </c>
    </row>
    <row r="11" spans="1:4" x14ac:dyDescent="0.45">
      <c r="A11" s="11" t="s">
        <v>57</v>
      </c>
      <c r="B11" s="11" t="b">
        <v>0</v>
      </c>
      <c r="C11" s="11"/>
      <c r="D11" s="13">
        <f t="shared" ca="1" si="0"/>
        <v>16960</v>
      </c>
    </row>
    <row r="12" spans="1:4" x14ac:dyDescent="0.45">
      <c r="A12" s="10" t="s">
        <v>58</v>
      </c>
      <c r="B12" s="10" t="b">
        <v>0</v>
      </c>
      <c r="C12" s="10"/>
      <c r="D12" s="13">
        <f t="shared" ca="1" si="0"/>
        <v>21351</v>
      </c>
    </row>
    <row r="13" spans="1:4" x14ac:dyDescent="0.45">
      <c r="A13" s="11" t="s">
        <v>59</v>
      </c>
      <c r="B13" s="11" t="b">
        <v>0</v>
      </c>
      <c r="C13" s="11"/>
      <c r="D13" s="13">
        <f t="shared" ca="1" si="0"/>
        <v>20998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workbookViewId="0">
      <selection activeCell="D28" sqref="D28:D46"/>
    </sheetView>
  </sheetViews>
  <sheetFormatPr defaultRowHeight="14.25" x14ac:dyDescent="0.45"/>
  <cols>
    <col min="1" max="5" width="14" style="6" customWidth="1"/>
  </cols>
  <sheetData>
    <row r="1" spans="1:5" x14ac:dyDescent="0.45">
      <c r="A1" s="12" t="s">
        <v>43</v>
      </c>
      <c r="B1" s="12" t="s">
        <v>60</v>
      </c>
      <c r="C1" s="12" t="s">
        <v>61</v>
      </c>
      <c r="D1" s="12" t="s">
        <v>62</v>
      </c>
      <c r="E1" s="15" t="s">
        <v>138</v>
      </c>
    </row>
    <row r="2" spans="1:5" x14ac:dyDescent="0.45">
      <c r="A2" s="10" t="s">
        <v>48</v>
      </c>
      <c r="B2" s="10" t="s">
        <v>63</v>
      </c>
      <c r="C2" s="10" t="s">
        <v>64</v>
      </c>
      <c r="D2" s="10">
        <v>17</v>
      </c>
      <c r="E2" s="16"/>
    </row>
    <row r="3" spans="1:5" x14ac:dyDescent="0.45">
      <c r="A3" s="11" t="s">
        <v>48</v>
      </c>
      <c r="B3" s="11" t="s">
        <v>65</v>
      </c>
      <c r="C3" s="11" t="s">
        <v>64</v>
      </c>
      <c r="D3" s="11">
        <v>10</v>
      </c>
      <c r="E3" s="17"/>
    </row>
    <row r="4" spans="1:5" x14ac:dyDescent="0.45">
      <c r="A4" s="10" t="s">
        <v>48</v>
      </c>
      <c r="B4" s="10" t="s">
        <v>66</v>
      </c>
      <c r="C4" s="10" t="s">
        <v>40</v>
      </c>
      <c r="D4" s="10">
        <v>14</v>
      </c>
      <c r="E4" s="16"/>
    </row>
    <row r="5" spans="1:5" x14ac:dyDescent="0.45">
      <c r="A5" s="11" t="s">
        <v>48</v>
      </c>
      <c r="B5" s="11" t="s">
        <v>67</v>
      </c>
      <c r="C5" s="11" t="s">
        <v>40</v>
      </c>
      <c r="D5" s="11">
        <v>7</v>
      </c>
      <c r="E5" s="17"/>
    </row>
    <row r="6" spans="1:5" x14ac:dyDescent="0.45">
      <c r="A6" s="10" t="s">
        <v>49</v>
      </c>
      <c r="B6" s="10" t="s">
        <v>68</v>
      </c>
      <c r="C6" s="10" t="s">
        <v>40</v>
      </c>
      <c r="D6" s="10">
        <v>14</v>
      </c>
      <c r="E6" s="16"/>
    </row>
    <row r="7" spans="1:5" x14ac:dyDescent="0.45">
      <c r="A7" s="11" t="s">
        <v>49</v>
      </c>
      <c r="B7" s="11" t="s">
        <v>69</v>
      </c>
      <c r="C7" s="11" t="s">
        <v>18</v>
      </c>
      <c r="D7" s="11">
        <v>10</v>
      </c>
      <c r="E7" s="17"/>
    </row>
    <row r="8" spans="1:5" x14ac:dyDescent="0.45">
      <c r="A8" s="10" t="s">
        <v>49</v>
      </c>
      <c r="B8" s="10" t="s">
        <v>70</v>
      </c>
      <c r="C8" s="10" t="s">
        <v>18</v>
      </c>
      <c r="D8" s="10">
        <v>10</v>
      </c>
      <c r="E8" s="16"/>
    </row>
    <row r="9" spans="1:5" x14ac:dyDescent="0.45">
      <c r="A9" s="11" t="s">
        <v>49</v>
      </c>
      <c r="B9" s="11" t="s">
        <v>71</v>
      </c>
      <c r="C9" s="11" t="s">
        <v>40</v>
      </c>
      <c r="D9" s="11">
        <v>14</v>
      </c>
      <c r="E9" s="17"/>
    </row>
    <row r="10" spans="1:5" x14ac:dyDescent="0.45">
      <c r="A10" s="10" t="s">
        <v>50</v>
      </c>
      <c r="B10" s="10" t="s">
        <v>72</v>
      </c>
      <c r="C10" s="10" t="s">
        <v>31</v>
      </c>
      <c r="D10" s="10">
        <v>10</v>
      </c>
      <c r="E10" s="16"/>
    </row>
    <row r="11" spans="1:5" x14ac:dyDescent="0.45">
      <c r="A11" s="11" t="s">
        <v>50</v>
      </c>
      <c r="B11" s="11" t="s">
        <v>73</v>
      </c>
      <c r="C11" s="11" t="s">
        <v>31</v>
      </c>
      <c r="D11" s="11">
        <v>7</v>
      </c>
      <c r="E11" s="17"/>
    </row>
    <row r="12" spans="1:5" x14ac:dyDescent="0.45">
      <c r="A12" s="10" t="s">
        <v>50</v>
      </c>
      <c r="B12" s="10" t="s">
        <v>74</v>
      </c>
      <c r="C12" s="10" t="s">
        <v>31</v>
      </c>
      <c r="D12" s="10">
        <v>7</v>
      </c>
      <c r="E12" s="16"/>
    </row>
    <row r="13" spans="1:5" x14ac:dyDescent="0.45">
      <c r="A13" s="11" t="s">
        <v>50</v>
      </c>
      <c r="B13" s="11" t="s">
        <v>75</v>
      </c>
      <c r="C13" s="11" t="s">
        <v>31</v>
      </c>
      <c r="D13" s="11">
        <v>10</v>
      </c>
      <c r="E13" s="17"/>
    </row>
    <row r="14" spans="1:5" x14ac:dyDescent="0.45">
      <c r="A14" s="10" t="s">
        <v>51</v>
      </c>
      <c r="B14" s="10" t="s">
        <v>76</v>
      </c>
      <c r="C14" s="10" t="s">
        <v>23</v>
      </c>
      <c r="D14" s="10">
        <v>7</v>
      </c>
      <c r="E14" s="16"/>
    </row>
    <row r="15" spans="1:5" x14ac:dyDescent="0.45">
      <c r="A15" s="11" t="s">
        <v>51</v>
      </c>
      <c r="B15" s="11" t="s">
        <v>77</v>
      </c>
      <c r="C15" s="11" t="s">
        <v>23</v>
      </c>
      <c r="D15" s="11">
        <v>3</v>
      </c>
      <c r="E15" s="17"/>
    </row>
    <row r="16" spans="1:5" x14ac:dyDescent="0.45">
      <c r="A16" s="10" t="s">
        <v>51</v>
      </c>
      <c r="B16" s="10" t="s">
        <v>78</v>
      </c>
      <c r="C16" s="10" t="s">
        <v>40</v>
      </c>
      <c r="D16" s="10">
        <v>14</v>
      </c>
      <c r="E16" s="16"/>
    </row>
    <row r="17" spans="1:5" x14ac:dyDescent="0.45">
      <c r="A17" s="11" t="s">
        <v>51</v>
      </c>
      <c r="B17" s="11" t="s">
        <v>79</v>
      </c>
      <c r="C17" s="11" t="s">
        <v>64</v>
      </c>
      <c r="D17" s="11">
        <v>7</v>
      </c>
      <c r="E17" s="17"/>
    </row>
    <row r="18" spans="1:5" x14ac:dyDescent="0.45">
      <c r="A18" s="10" t="s">
        <v>52</v>
      </c>
      <c r="B18" s="10" t="s">
        <v>80</v>
      </c>
      <c r="C18" s="10" t="s">
        <v>40</v>
      </c>
      <c r="D18" s="10">
        <v>17</v>
      </c>
      <c r="E18" s="16"/>
    </row>
    <row r="19" spans="1:5" x14ac:dyDescent="0.45">
      <c r="A19" s="11" t="s">
        <v>52</v>
      </c>
      <c r="B19" s="11" t="s">
        <v>81</v>
      </c>
      <c r="C19" s="11" t="s">
        <v>18</v>
      </c>
      <c r="D19" s="11">
        <v>27</v>
      </c>
      <c r="E19" s="17"/>
    </row>
    <row r="20" spans="1:5" x14ac:dyDescent="0.45">
      <c r="A20" s="10" t="s">
        <v>52</v>
      </c>
      <c r="B20" s="10" t="s">
        <v>82</v>
      </c>
      <c r="C20" s="10" t="s">
        <v>64</v>
      </c>
      <c r="D20" s="10">
        <v>7</v>
      </c>
      <c r="E20" s="16"/>
    </row>
    <row r="21" spans="1:5" x14ac:dyDescent="0.45">
      <c r="A21" s="11" t="s">
        <v>52</v>
      </c>
      <c r="B21" s="11" t="s">
        <v>83</v>
      </c>
      <c r="C21" s="11" t="s">
        <v>23</v>
      </c>
      <c r="D21" s="11">
        <v>3</v>
      </c>
      <c r="E21" s="17"/>
    </row>
    <row r="22" spans="1:5" x14ac:dyDescent="0.45">
      <c r="A22" s="10" t="s">
        <v>53</v>
      </c>
      <c r="B22" s="10" t="s">
        <v>84</v>
      </c>
      <c r="C22" s="10" t="s">
        <v>18</v>
      </c>
      <c r="D22" s="10">
        <v>20</v>
      </c>
      <c r="E22" s="16"/>
    </row>
    <row r="23" spans="1:5" x14ac:dyDescent="0.45">
      <c r="A23" s="11" t="s">
        <v>53</v>
      </c>
      <c r="B23" s="11" t="s">
        <v>85</v>
      </c>
      <c r="C23" s="11" t="s">
        <v>23</v>
      </c>
      <c r="D23" s="11">
        <v>14</v>
      </c>
      <c r="E23" s="17"/>
    </row>
    <row r="24" spans="1:5" x14ac:dyDescent="0.45">
      <c r="A24" s="10" t="s">
        <v>53</v>
      </c>
      <c r="B24" s="10" t="s">
        <v>86</v>
      </c>
      <c r="C24" s="10" t="s">
        <v>31</v>
      </c>
      <c r="D24" s="10">
        <v>7</v>
      </c>
      <c r="E24" s="16"/>
    </row>
    <row r="25" spans="1:5" x14ac:dyDescent="0.45">
      <c r="A25" s="11" t="s">
        <v>53</v>
      </c>
      <c r="B25" s="11" t="s">
        <v>87</v>
      </c>
      <c r="C25" s="11" t="s">
        <v>18</v>
      </c>
      <c r="D25" s="11">
        <v>14</v>
      </c>
      <c r="E25" s="17"/>
    </row>
    <row r="26" spans="1:5" x14ac:dyDescent="0.45">
      <c r="A26" s="10" t="s">
        <v>54</v>
      </c>
      <c r="B26" s="10" t="s">
        <v>88</v>
      </c>
      <c r="C26" s="10" t="s">
        <v>23</v>
      </c>
      <c r="D26" s="10">
        <v>10</v>
      </c>
      <c r="E26" s="16"/>
    </row>
    <row r="27" spans="1:5" x14ac:dyDescent="0.45">
      <c r="A27" s="11" t="s">
        <v>54</v>
      </c>
      <c r="B27" s="11" t="s">
        <v>89</v>
      </c>
      <c r="C27" s="11" t="s">
        <v>40</v>
      </c>
      <c r="D27" s="11">
        <v>7</v>
      </c>
      <c r="E27" s="17"/>
    </row>
    <row r="28" spans="1:5" x14ac:dyDescent="0.45">
      <c r="A28" s="10" t="s">
        <v>54</v>
      </c>
      <c r="B28" s="10" t="s">
        <v>90</v>
      </c>
      <c r="C28" s="10" t="s">
        <v>23</v>
      </c>
      <c r="D28" s="10">
        <v>3</v>
      </c>
      <c r="E28" s="16"/>
    </row>
    <row r="29" spans="1:5" x14ac:dyDescent="0.45">
      <c r="A29" s="11" t="s">
        <v>54</v>
      </c>
      <c r="B29" s="11" t="s">
        <v>91</v>
      </c>
      <c r="C29" s="11" t="s">
        <v>31</v>
      </c>
      <c r="D29" s="11">
        <v>10</v>
      </c>
      <c r="E29" s="17"/>
    </row>
    <row r="30" spans="1:5" x14ac:dyDescent="0.45">
      <c r="A30" s="10" t="s">
        <v>55</v>
      </c>
      <c r="B30" s="10" t="s">
        <v>92</v>
      </c>
      <c r="C30" s="10" t="s">
        <v>64</v>
      </c>
      <c r="D30" s="10">
        <v>14</v>
      </c>
      <c r="E30" s="16"/>
    </row>
    <row r="31" spans="1:5" x14ac:dyDescent="0.45">
      <c r="A31" s="11" t="s">
        <v>55</v>
      </c>
      <c r="B31" s="11" t="s">
        <v>93</v>
      </c>
      <c r="C31" s="11" t="s">
        <v>64</v>
      </c>
      <c r="D31" s="11">
        <v>10</v>
      </c>
      <c r="E31" s="17"/>
    </row>
    <row r="32" spans="1:5" x14ac:dyDescent="0.45">
      <c r="A32" s="10" t="s">
        <v>55</v>
      </c>
      <c r="B32" s="10" t="s">
        <v>94</v>
      </c>
      <c r="C32" s="10" t="s">
        <v>23</v>
      </c>
      <c r="D32" s="10">
        <v>17</v>
      </c>
      <c r="E32" s="16"/>
    </row>
    <row r="33" spans="1:5" x14ac:dyDescent="0.45">
      <c r="A33" s="11" t="s">
        <v>55</v>
      </c>
      <c r="B33" s="11" t="s">
        <v>95</v>
      </c>
      <c r="C33" s="11" t="s">
        <v>64</v>
      </c>
      <c r="D33" s="11">
        <v>7</v>
      </c>
      <c r="E33" s="17"/>
    </row>
    <row r="34" spans="1:5" x14ac:dyDescent="0.45">
      <c r="A34" s="10" t="s">
        <v>56</v>
      </c>
      <c r="B34" s="10" t="s">
        <v>96</v>
      </c>
      <c r="C34" s="10" t="s">
        <v>31</v>
      </c>
      <c r="D34" s="10">
        <v>24</v>
      </c>
      <c r="E34" s="16"/>
    </row>
    <row r="35" spans="1:5" x14ac:dyDescent="0.45">
      <c r="A35" s="11" t="s">
        <v>56</v>
      </c>
      <c r="B35" s="11" t="s">
        <v>97</v>
      </c>
      <c r="C35" s="11" t="s">
        <v>40</v>
      </c>
      <c r="D35" s="11">
        <v>10</v>
      </c>
      <c r="E35" s="17"/>
    </row>
    <row r="36" spans="1:5" x14ac:dyDescent="0.45">
      <c r="A36" s="10" t="s">
        <v>56</v>
      </c>
      <c r="B36" s="10" t="s">
        <v>98</v>
      </c>
      <c r="C36" s="10" t="s">
        <v>40</v>
      </c>
      <c r="D36" s="10">
        <v>7</v>
      </c>
      <c r="E36" s="16"/>
    </row>
    <row r="37" spans="1:5" x14ac:dyDescent="0.45">
      <c r="A37" s="11" t="s">
        <v>56</v>
      </c>
      <c r="B37" s="11" t="s">
        <v>99</v>
      </c>
      <c r="C37" s="11" t="s">
        <v>23</v>
      </c>
      <c r="D37" s="11">
        <v>7</v>
      </c>
      <c r="E37" s="17"/>
    </row>
    <row r="38" spans="1:5" x14ac:dyDescent="0.45">
      <c r="A38" s="10" t="s">
        <v>57</v>
      </c>
      <c r="B38" s="10" t="s">
        <v>100</v>
      </c>
      <c r="C38" s="10" t="s">
        <v>40</v>
      </c>
      <c r="D38" s="10">
        <v>7</v>
      </c>
      <c r="E38" s="16"/>
    </row>
    <row r="39" spans="1:5" x14ac:dyDescent="0.45">
      <c r="A39" s="11" t="s">
        <v>57</v>
      </c>
      <c r="B39" s="11" t="s">
        <v>101</v>
      </c>
      <c r="C39" s="11" t="s">
        <v>31</v>
      </c>
      <c r="D39" s="11">
        <v>14</v>
      </c>
      <c r="E39" s="17"/>
    </row>
    <row r="40" spans="1:5" x14ac:dyDescent="0.45">
      <c r="A40" s="10" t="s">
        <v>57</v>
      </c>
      <c r="B40" s="10" t="s">
        <v>102</v>
      </c>
      <c r="C40" s="10" t="s">
        <v>18</v>
      </c>
      <c r="D40" s="10">
        <v>7</v>
      </c>
      <c r="E40" s="16"/>
    </row>
    <row r="41" spans="1:5" x14ac:dyDescent="0.45">
      <c r="A41" s="11" t="s">
        <v>58</v>
      </c>
      <c r="B41" s="11" t="s">
        <v>103</v>
      </c>
      <c r="C41" s="11" t="s">
        <v>23</v>
      </c>
      <c r="D41" s="11">
        <v>7</v>
      </c>
      <c r="E41" s="17"/>
    </row>
    <row r="42" spans="1:5" x14ac:dyDescent="0.45">
      <c r="A42" s="10" t="s">
        <v>58</v>
      </c>
      <c r="B42" s="10" t="s">
        <v>104</v>
      </c>
      <c r="C42" s="10" t="s">
        <v>23</v>
      </c>
      <c r="D42" s="10">
        <v>7</v>
      </c>
      <c r="E42" s="16"/>
    </row>
    <row r="43" spans="1:5" x14ac:dyDescent="0.45">
      <c r="A43" s="11" t="s">
        <v>58</v>
      </c>
      <c r="B43" s="11" t="s">
        <v>105</v>
      </c>
      <c r="C43" s="11" t="s">
        <v>64</v>
      </c>
      <c r="D43" s="11">
        <v>14</v>
      </c>
      <c r="E43" s="17"/>
    </row>
    <row r="44" spans="1:5" x14ac:dyDescent="0.45">
      <c r="A44" s="10" t="s">
        <v>59</v>
      </c>
      <c r="B44" s="10" t="s">
        <v>106</v>
      </c>
      <c r="C44" s="10" t="s">
        <v>40</v>
      </c>
      <c r="D44" s="10">
        <v>24</v>
      </c>
      <c r="E44" s="16"/>
    </row>
    <row r="45" spans="1:5" x14ac:dyDescent="0.45">
      <c r="A45" s="11" t="s">
        <v>59</v>
      </c>
      <c r="B45" s="11" t="s">
        <v>107</v>
      </c>
      <c r="C45" s="11" t="s">
        <v>64</v>
      </c>
      <c r="D45" s="11">
        <v>14</v>
      </c>
      <c r="E45" s="17"/>
    </row>
    <row r="46" spans="1:5" x14ac:dyDescent="0.45">
      <c r="A46" s="10" t="s">
        <v>59</v>
      </c>
      <c r="B46" s="10" t="s">
        <v>108</v>
      </c>
      <c r="C46" s="10" t="s">
        <v>23</v>
      </c>
      <c r="D46" s="10">
        <v>10</v>
      </c>
      <c r="E46" s="16"/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/>
  </sheetViews>
  <sheetFormatPr defaultRowHeight="14.25" x14ac:dyDescent="0.45"/>
  <cols>
    <col min="1" max="1" width="14" customWidth="1"/>
    <col min="2" max="2" width="18" customWidth="1"/>
    <col min="3" max="3" width="14" customWidth="1"/>
    <col min="4" max="4" width="60" customWidth="1"/>
  </cols>
  <sheetData>
    <row r="1" spans="1:4" ht="20" customHeight="1" x14ac:dyDescent="0.45">
      <c r="A1" s="1" t="s">
        <v>109</v>
      </c>
      <c r="B1" s="1" t="s">
        <v>110</v>
      </c>
      <c r="C1" s="1" t="s">
        <v>111</v>
      </c>
      <c r="D1" s="1" t="s">
        <v>112</v>
      </c>
    </row>
    <row r="2" spans="1:4" ht="30" customHeight="1" x14ac:dyDescent="0.45">
      <c r="A2" s="2" t="s">
        <v>113</v>
      </c>
      <c r="B2" s="2" t="s">
        <v>0</v>
      </c>
      <c r="C2" s="2" t="s">
        <v>114</v>
      </c>
      <c r="D2" s="2" t="s">
        <v>115</v>
      </c>
    </row>
    <row r="3" spans="1:4" ht="30" customHeight="1" x14ac:dyDescent="0.45">
      <c r="A3" s="3" t="s">
        <v>113</v>
      </c>
      <c r="B3" s="3" t="s">
        <v>1</v>
      </c>
      <c r="C3" s="3" t="s">
        <v>116</v>
      </c>
      <c r="D3" s="3" t="s">
        <v>117</v>
      </c>
    </row>
    <row r="4" spans="1:4" ht="30" customHeight="1" x14ac:dyDescent="0.45">
      <c r="A4" s="2" t="s">
        <v>113</v>
      </c>
      <c r="B4" s="2" t="s">
        <v>2</v>
      </c>
      <c r="C4" s="2" t="s">
        <v>118</v>
      </c>
      <c r="D4" s="2" t="s">
        <v>119</v>
      </c>
    </row>
    <row r="5" spans="1:4" ht="30" customHeight="1" x14ac:dyDescent="0.45">
      <c r="A5" s="3" t="s">
        <v>113</v>
      </c>
      <c r="B5" s="3" t="s">
        <v>120</v>
      </c>
      <c r="C5" s="3" t="s">
        <v>121</v>
      </c>
      <c r="D5" s="3" t="s">
        <v>122</v>
      </c>
    </row>
    <row r="6" spans="1:4" ht="30" customHeight="1" x14ac:dyDescent="0.45">
      <c r="A6" s="2" t="s">
        <v>113</v>
      </c>
      <c r="B6" s="2" t="s">
        <v>4</v>
      </c>
      <c r="C6" s="2" t="s">
        <v>123</v>
      </c>
      <c r="D6" s="2" t="s">
        <v>124</v>
      </c>
    </row>
    <row r="7" spans="1:4" ht="30" customHeight="1" x14ac:dyDescent="0.45">
      <c r="A7" s="3" t="s">
        <v>125</v>
      </c>
      <c r="B7" s="3" t="s">
        <v>43</v>
      </c>
      <c r="C7" s="3" t="s">
        <v>114</v>
      </c>
      <c r="D7" s="3" t="s">
        <v>126</v>
      </c>
    </row>
    <row r="8" spans="1:4" ht="30" customHeight="1" x14ac:dyDescent="0.45">
      <c r="A8" s="2" t="s">
        <v>125</v>
      </c>
      <c r="B8" s="2" t="s">
        <v>44</v>
      </c>
      <c r="C8" s="2" t="s">
        <v>127</v>
      </c>
      <c r="D8" s="2" t="s">
        <v>128</v>
      </c>
    </row>
    <row r="9" spans="1:4" ht="30" customHeight="1" x14ac:dyDescent="0.45">
      <c r="A9" s="3" t="s">
        <v>125</v>
      </c>
      <c r="B9" s="3" t="s">
        <v>45</v>
      </c>
      <c r="C9" s="3" t="s">
        <v>116</v>
      </c>
      <c r="D9" s="3" t="s">
        <v>129</v>
      </c>
    </row>
    <row r="10" spans="1:4" ht="30" customHeight="1" x14ac:dyDescent="0.45">
      <c r="A10" s="2" t="s">
        <v>125</v>
      </c>
      <c r="B10" s="2" t="s">
        <v>130</v>
      </c>
      <c r="C10" s="2" t="s">
        <v>121</v>
      </c>
      <c r="D10" s="2" t="s">
        <v>131</v>
      </c>
    </row>
    <row r="11" spans="1:4" ht="30" customHeight="1" x14ac:dyDescent="0.45">
      <c r="A11" s="3" t="s">
        <v>125</v>
      </c>
      <c r="B11" s="3" t="s">
        <v>47</v>
      </c>
      <c r="C11" s="3" t="s">
        <v>123</v>
      </c>
      <c r="D11" s="3" t="s">
        <v>132</v>
      </c>
    </row>
    <row r="12" spans="1:4" ht="30" customHeight="1" x14ac:dyDescent="0.45">
      <c r="A12" s="2" t="s">
        <v>133</v>
      </c>
      <c r="B12" s="2" t="s">
        <v>43</v>
      </c>
      <c r="C12" s="2" t="s">
        <v>114</v>
      </c>
      <c r="D12" s="2" t="s">
        <v>134</v>
      </c>
    </row>
    <row r="13" spans="1:4" ht="30" customHeight="1" x14ac:dyDescent="0.45">
      <c r="A13" s="3" t="s">
        <v>133</v>
      </c>
      <c r="B13" s="3" t="s">
        <v>60</v>
      </c>
      <c r="C13" s="3" t="s">
        <v>114</v>
      </c>
      <c r="D13" s="3" t="s">
        <v>135</v>
      </c>
    </row>
    <row r="14" spans="1:4" ht="30" customHeight="1" x14ac:dyDescent="0.45">
      <c r="A14" s="2" t="s">
        <v>133</v>
      </c>
      <c r="B14" s="2" t="s">
        <v>61</v>
      </c>
      <c r="C14" s="2" t="s">
        <v>123</v>
      </c>
      <c r="D14" s="2" t="s">
        <v>136</v>
      </c>
    </row>
    <row r="15" spans="1:4" ht="30" customHeight="1" x14ac:dyDescent="0.45">
      <c r="A15" s="3" t="s">
        <v>133</v>
      </c>
      <c r="B15" s="3" t="s">
        <v>62</v>
      </c>
      <c r="C15" s="3" t="s">
        <v>116</v>
      </c>
      <c r="D15" s="3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Projects</vt:lpstr>
      <vt:lpstr>Tasks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Tatham</dc:creator>
  <cp:lastModifiedBy>Grant Gusewelle</cp:lastModifiedBy>
  <dcterms:created xsi:type="dcterms:W3CDTF">2026-01-28T05:47:55Z</dcterms:created>
  <dcterms:modified xsi:type="dcterms:W3CDTF">2026-02-26T20:17:23Z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0x010100A59ECEBEE7B0A048B0F6FBD797A31288</vt:lpwstr>
  </property>
</Properties>
</file>